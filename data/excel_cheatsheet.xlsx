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Cheatsheet" sheetId="1" state="visible" r:id="rId1"/>
    <sheet xmlns:r="http://schemas.openxmlformats.org/officeDocument/2006/relationships" name="Playground Data" sheetId="2" state="visible" r:id="rId2"/>
  </sheets>
  <definedNames>
    <definedName name="_xlnm._FilterDatabase" localSheetId="0" hidden="1">'Formula Cheatsheet'!$A$1:$E$17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color rgb="00175EAD"/>
    </font>
    <font>
      <b val="1"/>
      <color rgb="00176B55"/>
    </font>
  </fonts>
  <fills count="3">
    <fill>
      <patternFill/>
    </fill>
    <fill>
      <patternFill patternType="gray125"/>
    </fill>
    <fill>
      <patternFill patternType="solid">
        <fgColor rgb="00176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44" customWidth="1" min="4" max="4"/>
    <col width="40" customWidth="1" min="5" max="5"/>
  </cols>
  <sheetData>
    <row r="1" ht="24" customHeight="1">
      <c r="A1" s="1" t="inlineStr">
        <is>
          <t>Category</t>
        </is>
      </c>
      <c r="B1" s="1" t="inlineStr">
        <is>
          <t>Function</t>
        </is>
      </c>
      <c r="C1" s="1" t="inlineStr">
        <is>
          <t>Syntax</t>
        </is>
      </c>
      <c r="D1" s="1" t="inlineStr">
        <is>
          <t>What it does</t>
        </is>
      </c>
      <c r="E1" s="1" t="inlineStr">
        <is>
          <t>Example</t>
        </is>
      </c>
    </row>
    <row r="2">
      <c r="A2" t="inlineStr">
        <is>
          <t>Math</t>
        </is>
      </c>
      <c r="B2" t="inlineStr">
        <is>
          <t>SUM</t>
        </is>
      </c>
      <c r="C2">
        <f>SUM(number1, [number2], ...)</f>
        <v/>
      </c>
      <c r="D2" t="inlineStr">
        <is>
          <t>Adds values.</t>
        </is>
      </c>
      <c r="E2" s="2">
        <f>SUM(A1:A5)</f>
        <v/>
      </c>
    </row>
    <row r="3">
      <c r="A3" t="inlineStr">
        <is>
          <t>Math</t>
        </is>
      </c>
      <c r="B3" t="inlineStr">
        <is>
          <t>AVERAGE</t>
        </is>
      </c>
      <c r="C3">
        <f>AVERAGE(number1, [number2], ...)</f>
        <v/>
      </c>
      <c r="D3" t="inlineStr">
        <is>
          <t>Returns the arithmetic mean.</t>
        </is>
      </c>
      <c r="E3" s="2">
        <f>AVERAGE(A1:A5)</f>
        <v/>
      </c>
    </row>
    <row r="4">
      <c r="A4" t="inlineStr">
        <is>
          <t>Math</t>
        </is>
      </c>
      <c r="B4" t="inlineStr">
        <is>
          <t>MIN</t>
        </is>
      </c>
      <c r="C4">
        <f>MIN(number1, [number2], ...)</f>
        <v/>
      </c>
      <c r="D4" t="inlineStr">
        <is>
          <t>Returns the smallest value.</t>
        </is>
      </c>
      <c r="E4" s="2">
        <f>MIN(A1:A5)</f>
        <v/>
      </c>
    </row>
    <row r="5">
      <c r="A5" t="inlineStr">
        <is>
          <t>Math</t>
        </is>
      </c>
      <c r="B5" t="inlineStr">
        <is>
          <t>MAX</t>
        </is>
      </c>
      <c r="C5">
        <f>MAX(number1, [number2], ...)</f>
        <v/>
      </c>
      <c r="D5" t="inlineStr">
        <is>
          <t>Returns the largest value.</t>
        </is>
      </c>
      <c r="E5" s="2">
        <f>MAX(A1:A5)</f>
        <v/>
      </c>
    </row>
    <row r="6">
      <c r="A6" t="inlineStr">
        <is>
          <t>Counting</t>
        </is>
      </c>
      <c r="B6" t="inlineStr">
        <is>
          <t>COUNT</t>
        </is>
      </c>
      <c r="C6">
        <f>COUNT(value1, [value2], ...)</f>
        <v/>
      </c>
      <c r="D6" t="inlineStr">
        <is>
          <t>Counts numeric cells.</t>
        </is>
      </c>
      <c r="E6" s="2">
        <f>COUNT(A1:A5)</f>
        <v/>
      </c>
    </row>
    <row r="7">
      <c r="A7" t="inlineStr">
        <is>
          <t>Counting</t>
        </is>
      </c>
      <c r="B7" t="inlineStr">
        <is>
          <t>COUNTA</t>
        </is>
      </c>
      <c r="C7">
        <f>COUNTA(value1, [value2], ...)</f>
        <v/>
      </c>
      <c r="D7" t="inlineStr">
        <is>
          <t>Counts non-empty cells.</t>
        </is>
      </c>
      <c r="E7" s="2">
        <f>COUNTA(A1:A5)</f>
        <v/>
      </c>
    </row>
    <row r="8">
      <c r="A8" t="inlineStr">
        <is>
          <t>Logic</t>
        </is>
      </c>
      <c r="B8" t="inlineStr">
        <is>
          <t>IF</t>
        </is>
      </c>
      <c r="C8">
        <f>IF(condition, value_if_true, value_if_false)</f>
        <v/>
      </c>
      <c r="D8" t="inlineStr">
        <is>
          <t>Returns a value based on a condition.</t>
        </is>
      </c>
      <c r="E8" s="2">
        <f>IF(A1&gt;=10,"Pass","Retry")</f>
        <v/>
      </c>
    </row>
    <row r="9">
      <c r="A9" t="inlineStr">
        <is>
          <t>Logic</t>
        </is>
      </c>
      <c r="B9" t="inlineStr">
        <is>
          <t>IFERROR</t>
        </is>
      </c>
      <c r="C9">
        <f>IFERROR(value, value_if_error)</f>
        <v/>
      </c>
      <c r="D9" t="inlineStr">
        <is>
          <t>Replaces an error with a chosen value.</t>
        </is>
      </c>
      <c r="E9" s="2">
        <f>IFERROR(A1/B1,0)</f>
        <v/>
      </c>
    </row>
    <row r="10">
      <c r="A10" t="inlineStr">
        <is>
          <t>Conditional</t>
        </is>
      </c>
      <c r="B10" t="inlineStr">
        <is>
          <t>SUMIF</t>
        </is>
      </c>
      <c r="C10">
        <f>SUMIF(range, criteria, [sum_range])</f>
        <v/>
      </c>
      <c r="D10" t="inlineStr">
        <is>
          <t>Adds values matching a condition.</t>
        </is>
      </c>
      <c r="E10" s="2">
        <f>SUMIF(A1:A5,"&gt;10",A1:A5)</f>
        <v/>
      </c>
    </row>
    <row r="11">
      <c r="A11" t="inlineStr">
        <is>
          <t>Conditional</t>
        </is>
      </c>
      <c r="B11" t="inlineStr">
        <is>
          <t>COUNTIF</t>
        </is>
      </c>
      <c r="C11">
        <f>COUNTIF(range, criteria)</f>
        <v/>
      </c>
      <c r="D11" t="inlineStr">
        <is>
          <t>Counts cells matching a condition.</t>
        </is>
      </c>
      <c r="E11" s="2">
        <f>COUNTIF(A1:A5,"&gt;10")</f>
        <v/>
      </c>
    </row>
    <row r="12">
      <c r="A12" t="inlineStr">
        <is>
          <t>Lookup</t>
        </is>
      </c>
      <c r="B12" t="inlineStr">
        <is>
          <t>XLOOKUP</t>
        </is>
      </c>
      <c r="C12">
        <f>XLOOKUP(lookup_value, lookup_array, return_array)</f>
        <v/>
      </c>
      <c r="D12" t="inlineStr">
        <is>
          <t>Looks up a value and returns a match.</t>
        </is>
      </c>
      <c r="E12" s="2">
        <f>XLOOKUP(E1,A1:A5,B1:B5)</f>
        <v/>
      </c>
    </row>
    <row r="13">
      <c r="A13" t="inlineStr">
        <is>
          <t>Lookup</t>
        </is>
      </c>
      <c r="B13" t="inlineStr">
        <is>
          <t>VLOOKUP</t>
        </is>
      </c>
      <c r="C13">
        <f>VLOOKUP(lookup_value, table_array, col_index, FALSE)</f>
        <v/>
      </c>
      <c r="D13" t="inlineStr">
        <is>
          <t>Looks up a value in the first table column.</t>
        </is>
      </c>
      <c r="E13" s="2">
        <f>VLOOKUP(E1,A1:B5,2,FALSE)</f>
        <v/>
      </c>
    </row>
    <row r="14">
      <c r="A14" t="inlineStr">
        <is>
          <t>Text</t>
        </is>
      </c>
      <c r="B14" t="inlineStr">
        <is>
          <t>CONCAT</t>
        </is>
      </c>
      <c r="C14">
        <f>CONCAT(text1, [text2], ...)</f>
        <v/>
      </c>
      <c r="D14" t="inlineStr">
        <is>
          <t>Joins text values.</t>
        </is>
      </c>
      <c r="E14" s="2">
        <f>CONCAT(A1," ",B1)</f>
        <v/>
      </c>
    </row>
    <row r="15">
      <c r="A15" t="inlineStr">
        <is>
          <t>Text</t>
        </is>
      </c>
      <c r="B15" t="inlineStr">
        <is>
          <t>LEFT</t>
        </is>
      </c>
      <c r="C15">
        <f>LEFT(text, [num_chars])</f>
        <v/>
      </c>
      <c r="D15" t="inlineStr">
        <is>
          <t>Returns characters from the start of text.</t>
        </is>
      </c>
      <c r="E15" s="2">
        <f>LEFT(A1,3)</f>
        <v/>
      </c>
    </row>
    <row r="16">
      <c r="A16" t="inlineStr">
        <is>
          <t>Text</t>
        </is>
      </c>
      <c r="B16" t="inlineStr">
        <is>
          <t>TRIM</t>
        </is>
      </c>
      <c r="C16">
        <f>TRIM(text)</f>
        <v/>
      </c>
      <c r="D16" t="inlineStr">
        <is>
          <t>Removes extra spaces from text.</t>
        </is>
      </c>
      <c r="E16" s="2">
        <f>TRIM(A1)</f>
        <v/>
      </c>
    </row>
    <row r="17">
      <c r="A17" t="inlineStr">
        <is>
          <t>Date</t>
        </is>
      </c>
      <c r="B17" t="inlineStr">
        <is>
          <t>TODAY</t>
        </is>
      </c>
      <c r="C17">
        <f>TODAY()</f>
        <v/>
      </c>
      <c r="D17" t="inlineStr">
        <is>
          <t>Returns the current date.</t>
        </is>
      </c>
      <c r="E17" s="2">
        <f>TODAY()</f>
        <v/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" customWidth="1" min="3" max="3"/>
    <col width="40" customWidth="1" min="4" max="4"/>
  </cols>
  <sheetData>
    <row r="1">
      <c r="A1" t="n">
        <v>12</v>
      </c>
      <c r="B1" t="n">
        <v>5</v>
      </c>
      <c r="D1" s="3" t="inlineStr">
        <is>
          <t>Edit A1:B5 in the playground.</t>
        </is>
      </c>
    </row>
    <row r="2">
      <c r="A2" t="n">
        <v>18</v>
      </c>
      <c r="B2" t="n">
        <v>10</v>
      </c>
      <c r="D2" s="2" t="inlineStr">
        <is>
          <t>Try: =SUM(A1:A5)+SUM(B1:B5)</t>
        </is>
      </c>
    </row>
    <row r="3">
      <c r="A3" t="n">
        <v>9</v>
      </c>
      <c r="B3" t="n">
        <v>3</v>
      </c>
    </row>
    <row r="4">
      <c r="A4" t="n">
        <v>6</v>
      </c>
      <c r="B4" t="n">
        <v>7</v>
      </c>
    </row>
    <row r="5">
      <c r="A5" t="n">
        <v>15</v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Excel Cheatsheet and Playground</dc:title>
  <dc:subject xmlns:dc="http://purl.org/dc/elements/1.1/">Excel formulas and practice data</dc:subject>
  <dcterms:created xmlns:dcterms="http://purl.org/dc/terms/" xmlns:xsi="http://www.w3.org/2001/XMLSchema-instance" xsi:type="dcterms:W3CDTF">2026-10-02T09:05:45Z</dcterms:created>
  <dcterms:modified xmlns:dcterms="http://purl.org/dc/terms/" xmlns:xsi="http://www.w3.org/2001/XMLSchema-instance" xsi:type="dcterms:W3CDTF">2026-10-02T09:05:45Z</dcterms:modified>
</cp:coreProperties>
</file>